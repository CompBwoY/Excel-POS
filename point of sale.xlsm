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mpBwoY\Documents\Projects\Tutorials\Excel\"/>
    </mc:Choice>
  </mc:AlternateContent>
  <xr:revisionPtr revIDLastSave="0" documentId="13_ncr:1_{67B93F47-58FD-4DF9-87D0-DDE977FE4F81}" xr6:coauthVersionLast="41" xr6:coauthVersionMax="41" xr10:uidLastSave="{00000000-0000-0000-0000-000000000000}"/>
  <bookViews>
    <workbookView xWindow="-120" yWindow="-120" windowWidth="20730" windowHeight="11310" xr2:uid="{436328E7-536E-4A11-8CC3-DA4BAFBE3FFC}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_No">OFFSET(Sales!$A$2,1,,COUNTA(Sales!$A$2:$A$9999)-1,1)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M6" i="1"/>
  <c r="B5" i="1"/>
  <c r="I3" i="1"/>
  <c r="B7" i="1"/>
  <c r="I4" i="1" l="1"/>
  <c r="S4" i="1" s="1"/>
  <c r="S3" i="1"/>
  <c r="I5" i="1" l="1"/>
  <c r="I8" i="1" s="1"/>
  <c r="S5" i="1" l="1"/>
  <c r="S7" i="1"/>
</calcChain>
</file>

<file path=xl/sharedStrings.xml><?xml version="1.0" encoding="utf-8"?>
<sst xmlns="http://schemas.openxmlformats.org/spreadsheetml/2006/main" count="83" uniqueCount="65">
  <si>
    <t>Item ID</t>
  </si>
  <si>
    <t>Item Name</t>
  </si>
  <si>
    <t>Price</t>
  </si>
  <si>
    <t>Image</t>
  </si>
  <si>
    <t>Apple</t>
  </si>
  <si>
    <t>Banana</t>
  </si>
  <si>
    <t>Cherry</t>
  </si>
  <si>
    <t>Grapes</t>
  </si>
  <si>
    <t>Orange</t>
  </si>
  <si>
    <t>Peach</t>
  </si>
  <si>
    <t>Plum</t>
  </si>
  <si>
    <t>Raspberry</t>
  </si>
  <si>
    <t>Strawberry</t>
  </si>
  <si>
    <t>Raisins</t>
  </si>
  <si>
    <t>Item Description</t>
  </si>
  <si>
    <t>Joseph Kimanzi Farm, Makueni</t>
  </si>
  <si>
    <t>Thomas Kariuki Farm, Nakuru</t>
  </si>
  <si>
    <t>Mulinge Muteti, Machakos</t>
  </si>
  <si>
    <t>Adriano Fuschima, Kakamega</t>
  </si>
  <si>
    <t>Morio Luseti Farm, Tana River</t>
  </si>
  <si>
    <t>Wageshi Maundu Farm, Kirinyaga</t>
  </si>
  <si>
    <t>Bathlomeo Embarambamba, Kisii</t>
  </si>
  <si>
    <t>Mutai Mweni, Embu</t>
  </si>
  <si>
    <t>Kiriama Kyama Farm, Meru</t>
  </si>
  <si>
    <t>Lawrence Wambirianga, Uasin Gishu</t>
  </si>
  <si>
    <t>Items</t>
  </si>
  <si>
    <t>POINT OF SALE</t>
  </si>
  <si>
    <t>Item Name:</t>
  </si>
  <si>
    <t>Total</t>
  </si>
  <si>
    <t>Tax:</t>
  </si>
  <si>
    <t>Total:</t>
  </si>
  <si>
    <t>Pay Type:</t>
  </si>
  <si>
    <t>Payment:</t>
  </si>
  <si>
    <t>Change:</t>
  </si>
  <si>
    <t>Subtotal:</t>
  </si>
  <si>
    <t>Price:</t>
  </si>
  <si>
    <t>Quantity:</t>
  </si>
  <si>
    <t>Scan Item:</t>
  </si>
  <si>
    <t>Sales Reciept</t>
  </si>
  <si>
    <t>PARTOH'S FARM</t>
  </si>
  <si>
    <t>123 Main, Eldoret</t>
  </si>
  <si>
    <t>Reciept #:</t>
  </si>
  <si>
    <t>Date</t>
  </si>
  <si>
    <t>Date:</t>
  </si>
  <si>
    <t>Cashier:</t>
  </si>
  <si>
    <t>Item</t>
  </si>
  <si>
    <t>Qty</t>
  </si>
  <si>
    <t>Item Load:</t>
  </si>
  <si>
    <t>Rcpt Row:</t>
  </si>
  <si>
    <t>Item Row:</t>
  </si>
  <si>
    <t>Next Rcpt #:</t>
  </si>
  <si>
    <t>Sales History</t>
  </si>
  <si>
    <t>..\..\..\..\Pictures\Picture1.png</t>
  </si>
  <si>
    <t>..\..\..\..\Pictures\splash.png</t>
  </si>
  <si>
    <t>..\..\..\..\Downloads\Partoh\Nokia\Camera\IMG_20190117_164940.jpg</t>
  </si>
  <si>
    <t>..\..\..\..\Downloads\Partoh\Nokia\Camera\IMG_20190117_164959.jpg</t>
  </si>
  <si>
    <t>..\..\..\..\Downloads\Partoh\Nokia\Camera\IMG_20190803_101520.jpg</t>
  </si>
  <si>
    <t>..\..\..\..\Downloads\Partoh\Nokia\Camera\IMG_20190803_104325.jpg</t>
  </si>
  <si>
    <t>..\..\..\..\Downloads\Partoh\Nokia\Camera\IMG_20190803_170848.jpg</t>
  </si>
  <si>
    <t>..\..\..\..\Downloads\Partoh\Nokia\Camera\IMG_20190803_170925.jpg</t>
  </si>
  <si>
    <t>..\..\..\..\Downloads\Partoh\Nokia\Camera\IMG_20190908_151235.jpg</t>
  </si>
  <si>
    <t>..\..\..\..\Downloads\Partoh\Nokia\Camera\IMG_20190908_153003.jpg</t>
  </si>
  <si>
    <t>Cash</t>
  </si>
  <si>
    <t>Patrick Mulwa</t>
  </si>
  <si>
    <t>Casheir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</si>
</sst>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Ksh&quot;#,##0.00;\-&quot;Ksh&quot;#,##0.00"/>
    <numFmt numFmtId="164" formatCode="&quot;Ksh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8" tint="-0.25098422193060094"/>
        </stop>
        <stop position="1">
          <color theme="8" tint="0.40000610370189521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dotted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dotted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 style="dotted">
        <color theme="8" tint="-0.499984740745262"/>
      </left>
      <right style="dotted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theme="8" tint="-0.499984740745262"/>
      </top>
      <bottom style="dotted">
        <color theme="8" tint="-0.499984740745262"/>
      </bottom>
      <diagonal/>
    </border>
    <border>
      <left/>
      <right/>
      <top style="thick">
        <color theme="8" tint="-0.499984740745262"/>
      </top>
      <bottom/>
      <diagonal/>
    </border>
    <border>
      <left style="thick">
        <color theme="8" tint="-0.499984740745262"/>
      </left>
      <right/>
      <top style="thick">
        <color theme="8" tint="-0.499984740745262"/>
      </top>
      <bottom/>
      <diagonal/>
    </border>
    <border>
      <left style="thick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 style="thick">
        <color theme="8" tint="-0.499984740745262"/>
      </left>
      <right/>
      <top/>
      <bottom/>
      <diagonal/>
    </border>
    <border>
      <left style="thin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 style="thick">
        <color theme="8" tint="-0.499984740745262"/>
      </left>
      <right style="thin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4" fillId="0" borderId="0" applyNumberFormat="0" applyFill="0" applyBorder="0" applyAlignment="0" applyProtection="0"/>
  </cellStyleXfs>
  <cellXfs count="49">
    <xf numFmtId="0" fontId="0" fillId="0" borderId="0" xfId="0"/>
    <xf numFmtId="164" fontId="0" fillId="0" borderId="0" xfId="0" applyNumberFormat="1"/>
    <xf numFmtId="0" fontId="1" fillId="3" borderId="1" xfId="2" applyBorder="1" applyAlignment="1">
      <alignment horizontal="center"/>
    </xf>
    <xf numFmtId="164" fontId="1" fillId="3" borderId="1" xfId="2" applyNumberFormat="1" applyBorder="1" applyAlignment="1">
      <alignment horizontal="center"/>
    </xf>
    <xf numFmtId="0" fontId="0" fillId="4" borderId="0" xfId="0" applyFill="1"/>
    <xf numFmtId="0" fontId="1" fillId="5" borderId="0" xfId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7" borderId="3" xfId="0" applyFill="1" applyBorder="1" applyAlignment="1">
      <alignment horizontal="right"/>
    </xf>
    <xf numFmtId="0" fontId="0" fillId="7" borderId="2" xfId="0" applyFill="1" applyBorder="1" applyAlignment="1">
      <alignment horizontal="right"/>
    </xf>
    <xf numFmtId="0" fontId="0" fillId="8" borderId="0" xfId="0" applyFill="1" applyAlignment="1">
      <alignment horizontal="right"/>
    </xf>
    <xf numFmtId="0" fontId="0" fillId="8" borderId="9" xfId="0" applyFill="1" applyBorder="1" applyAlignment="1">
      <alignment horizontal="center"/>
    </xf>
    <xf numFmtId="2" fontId="0" fillId="8" borderId="0" xfId="0" applyNumberFormat="1" applyFill="1"/>
    <xf numFmtId="164" fontId="0" fillId="8" borderId="0" xfId="0" applyNumberFormat="1" applyFill="1"/>
    <xf numFmtId="164" fontId="0" fillId="8" borderId="0" xfId="0" applyNumberFormat="1" applyFill="1" applyAlignment="1">
      <alignment horizontal="right"/>
    </xf>
    <xf numFmtId="0" fontId="0" fillId="9" borderId="2" xfId="0" applyFill="1" applyBorder="1" applyAlignment="1">
      <alignment horizontal="right"/>
    </xf>
    <xf numFmtId="0" fontId="0" fillId="9" borderId="2" xfId="0" applyFill="1" applyBorder="1" applyAlignment="1">
      <alignment horizontal="left"/>
    </xf>
    <xf numFmtId="164" fontId="0" fillId="7" borderId="4" xfId="0" applyNumberFormat="1" applyFill="1" applyBorder="1"/>
    <xf numFmtId="49" fontId="0" fillId="8" borderId="4" xfId="0" applyNumberFormat="1" applyFill="1" applyBorder="1"/>
    <xf numFmtId="0" fontId="4" fillId="0" borderId="0" xfId="3"/>
    <xf numFmtId="7" fontId="0" fillId="8" borderId="4" xfId="0" applyNumberFormat="1" applyFill="1" applyBorder="1"/>
    <xf numFmtId="0" fontId="0" fillId="0" borderId="0" xfId="0" applyAlignment="1">
      <alignment horizontal="right"/>
    </xf>
    <xf numFmtId="22" fontId="0" fillId="0" borderId="0" xfId="0" applyNumberFormat="1"/>
    <xf numFmtId="7" fontId="0" fillId="0" borderId="0" xfId="0" applyNumberFormat="1"/>
    <xf numFmtId="0" fontId="0" fillId="0" borderId="10" xfId="0" applyBorder="1"/>
    <xf numFmtId="22" fontId="0" fillId="0" borderId="10" xfId="0" applyNumberFormat="1" applyBorder="1"/>
    <xf numFmtId="22" fontId="0" fillId="10" borderId="11" xfId="0" applyNumberForma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7" fontId="0" fillId="0" borderId="10" xfId="0" applyNumberFormat="1" applyBorder="1"/>
    <xf numFmtId="7" fontId="0" fillId="10" borderId="11" xfId="0" applyNumberFormat="1" applyFill="1" applyBorder="1" applyAlignment="1">
      <alignment horizontal="center"/>
    </xf>
    <xf numFmtId="0" fontId="0" fillId="0" borderId="13" xfId="0" applyBorder="1"/>
    <xf numFmtId="0" fontId="0" fillId="8" borderId="0" xfId="0" applyFill="1" applyAlignment="1">
      <alignment horizontal="left"/>
    </xf>
    <xf numFmtId="0" fontId="2" fillId="5" borderId="0" xfId="1" applyFont="1" applyFill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3" fillId="8" borderId="0" xfId="1" applyFont="1" applyFill="1" applyAlignment="1">
      <alignment horizontal="center"/>
    </xf>
    <xf numFmtId="0" fontId="0" fillId="8" borderId="0" xfId="0" applyFill="1" applyAlignment="1">
      <alignment horizontal="center"/>
    </xf>
    <xf numFmtId="22" fontId="0" fillId="8" borderId="0" xfId="0" applyNumberFormat="1" applyFill="1" applyAlignment="1">
      <alignment horizontal="left"/>
    </xf>
    <xf numFmtId="0" fontId="1" fillId="3" borderId="1" xfId="2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10" borderId="14" xfId="0" applyFont="1" applyFill="1" applyBorder="1" applyAlignment="1">
      <alignment horizontal="center"/>
    </xf>
  </cellXfs>
  <cellStyles count="4">
    <cellStyle name="60% - Accent5" xfId="1" builtinId="48"/>
    <cellStyle name="60% - Accent6" xfId="2" builtinId="52"/>
    <cellStyle name="Hyperlink" xfId="3" builtinId="8"/>
    <cellStyle name="Normal" xfId="0" builtinId="0"/>
  </cellStyles>
  <dxfs count="3">
    <dxf>
      <font>
        <b/>
        <i val="0"/>
        <color theme="0"/>
      </font>
      <fill>
        <gradientFill degree="90">
          <stop position="0">
            <color theme="8" tint="-0.49803155613879818"/>
          </stop>
          <stop position="1">
            <color theme="4"/>
          </stop>
        </gradientFill>
      </fill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border>
        <top style="dotted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590550</xdr:colOff>
      <xdr:row>10</xdr:row>
      <xdr:rowOff>161925</xdr:rowOff>
    </xdr:from>
    <xdr:to>
      <xdr:col>5</xdr:col>
      <xdr:colOff>526275</xdr:colOff>
      <xdr:row>24</xdr:row>
      <xdr:rowOff>61650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3FB8B54-2962-40E7-8213-CEF2D603F1A9}"/>
            </a:ext>
          </a:extLst>
        </xdr:cNvPr>
        <xdr:cNvGrpSpPr/>
      </xdr:nvGrpSpPr>
      <xdr:grpSpPr>
        <a:xfrm>
          <a:off x="590550" y="2336800"/>
          <a:ext cx="1967725" cy="2566725"/>
          <a:chOff x="1809750" y="2333625"/>
          <a:chExt cx="1964550" cy="2566725"/>
        </a:xfrm>
      </xdr:grpSpPr>
      <xdr:sp macro="[0]!NumberBtn" textlink="">
        <xdr:nvSpPr>
          <xdr:cNvPr id="2" name="BUTN1">
            <a:extLst>
              <a:ext uri="{FF2B5EF4-FFF2-40B4-BE49-F238E27FC236}">
                <a16:creationId xmlns:a16="http://schemas.microsoft.com/office/drawing/2014/main" id="{C1716F7B-D4DA-4BBE-AC20-5BBD2447E6F2}"/>
              </a:ext>
            </a:extLst>
          </xdr:cNvPr>
          <xdr:cNvSpPr/>
        </xdr:nvSpPr>
        <xdr:spPr>
          <a:xfrm>
            <a:off x="1809750" y="2333625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  <a:endParaRPr lang="en-KE" sz="3200"/>
          </a:p>
        </xdr:txBody>
      </xdr:sp>
      <xdr:sp macro="[0]!NumberBtn" textlink="">
        <xdr:nvSpPr>
          <xdr:cNvPr id="3" name="BUTN2">
            <a:extLst>
              <a:ext uri="{FF2B5EF4-FFF2-40B4-BE49-F238E27FC236}">
                <a16:creationId xmlns:a16="http://schemas.microsoft.com/office/drawing/2014/main" id="{61FED30A-527B-4509-802F-4C5124442618}"/>
              </a:ext>
            </a:extLst>
          </xdr:cNvPr>
          <xdr:cNvSpPr/>
        </xdr:nvSpPr>
        <xdr:spPr>
          <a:xfrm>
            <a:off x="2481263" y="2333625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  <a:endParaRPr lang="en-KE" sz="3200"/>
          </a:p>
        </xdr:txBody>
      </xdr:sp>
      <xdr:sp macro="[0]!NumberBtn" textlink="">
        <xdr:nvSpPr>
          <xdr:cNvPr id="5" name="BUTN3">
            <a:extLst>
              <a:ext uri="{FF2B5EF4-FFF2-40B4-BE49-F238E27FC236}">
                <a16:creationId xmlns:a16="http://schemas.microsoft.com/office/drawing/2014/main" id="{8AC5D3BD-874D-4344-A4D3-AAECE31833A2}"/>
              </a:ext>
            </a:extLst>
          </xdr:cNvPr>
          <xdr:cNvSpPr/>
        </xdr:nvSpPr>
        <xdr:spPr>
          <a:xfrm>
            <a:off x="3162300" y="2333625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  <a:endParaRPr lang="en-KE" sz="3200"/>
          </a:p>
        </xdr:txBody>
      </xdr:sp>
      <xdr:sp macro="[0]!NumberBtn" textlink="">
        <xdr:nvSpPr>
          <xdr:cNvPr id="6" name="BUTN4">
            <a:extLst>
              <a:ext uri="{FF2B5EF4-FFF2-40B4-BE49-F238E27FC236}">
                <a16:creationId xmlns:a16="http://schemas.microsoft.com/office/drawing/2014/main" id="{F657FFC0-86D6-4073-9993-599263659D6F}"/>
              </a:ext>
            </a:extLst>
          </xdr:cNvPr>
          <xdr:cNvSpPr/>
        </xdr:nvSpPr>
        <xdr:spPr>
          <a:xfrm>
            <a:off x="1809750" y="2997200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  <a:endParaRPr lang="en-KE" sz="3200"/>
          </a:p>
        </xdr:txBody>
      </xdr:sp>
      <xdr:sp macro="[0]!NumberBtn" textlink="">
        <xdr:nvSpPr>
          <xdr:cNvPr id="7" name="BUTN5">
            <a:extLst>
              <a:ext uri="{FF2B5EF4-FFF2-40B4-BE49-F238E27FC236}">
                <a16:creationId xmlns:a16="http://schemas.microsoft.com/office/drawing/2014/main" id="{2D388F5F-25BE-46C7-B389-BE1D6E44E05C}"/>
              </a:ext>
            </a:extLst>
          </xdr:cNvPr>
          <xdr:cNvSpPr/>
        </xdr:nvSpPr>
        <xdr:spPr>
          <a:xfrm>
            <a:off x="2481263" y="2997200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  <a:endParaRPr lang="en-KE" sz="3200"/>
          </a:p>
        </xdr:txBody>
      </xdr:sp>
      <xdr:sp macro="[0]!NumberBtn" textlink="">
        <xdr:nvSpPr>
          <xdr:cNvPr id="8" name="BUTN6">
            <a:extLst>
              <a:ext uri="{FF2B5EF4-FFF2-40B4-BE49-F238E27FC236}">
                <a16:creationId xmlns:a16="http://schemas.microsoft.com/office/drawing/2014/main" id="{EA7BE9DB-EB9F-4B16-923D-E559BBA3FA2C}"/>
              </a:ext>
            </a:extLst>
          </xdr:cNvPr>
          <xdr:cNvSpPr/>
        </xdr:nvSpPr>
        <xdr:spPr>
          <a:xfrm>
            <a:off x="3162300" y="2997200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  <a:endParaRPr lang="en-KE" sz="3200"/>
          </a:p>
        </xdr:txBody>
      </xdr:sp>
      <xdr:sp macro="[0]!NumberBtn" textlink="">
        <xdr:nvSpPr>
          <xdr:cNvPr id="9" name="BUTN7">
            <a:extLst>
              <a:ext uri="{FF2B5EF4-FFF2-40B4-BE49-F238E27FC236}">
                <a16:creationId xmlns:a16="http://schemas.microsoft.com/office/drawing/2014/main" id="{858CDD2A-DA5E-44EA-AB4F-ADE02875B70B}"/>
              </a:ext>
            </a:extLst>
          </xdr:cNvPr>
          <xdr:cNvSpPr/>
        </xdr:nvSpPr>
        <xdr:spPr>
          <a:xfrm>
            <a:off x="1809750" y="3660775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  <a:endParaRPr lang="en-KE" sz="3200"/>
          </a:p>
        </xdr:txBody>
      </xdr:sp>
      <xdr:sp macro="[0]!NumberBtn" textlink="">
        <xdr:nvSpPr>
          <xdr:cNvPr id="10" name="BUTN8">
            <a:extLst>
              <a:ext uri="{FF2B5EF4-FFF2-40B4-BE49-F238E27FC236}">
                <a16:creationId xmlns:a16="http://schemas.microsoft.com/office/drawing/2014/main" id="{EDE141DC-7B31-4ABC-9BE1-A72C95F2C4E6}"/>
              </a:ext>
            </a:extLst>
          </xdr:cNvPr>
          <xdr:cNvSpPr/>
        </xdr:nvSpPr>
        <xdr:spPr>
          <a:xfrm>
            <a:off x="2481263" y="3660775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  <a:endParaRPr lang="en-KE" sz="3200"/>
          </a:p>
        </xdr:txBody>
      </xdr:sp>
      <xdr:sp macro="[0]!NumberBtn" textlink="">
        <xdr:nvSpPr>
          <xdr:cNvPr id="11" name="BUTN9">
            <a:extLst>
              <a:ext uri="{FF2B5EF4-FFF2-40B4-BE49-F238E27FC236}">
                <a16:creationId xmlns:a16="http://schemas.microsoft.com/office/drawing/2014/main" id="{0EE56DA2-3D0B-4353-BC85-596A8719573F}"/>
              </a:ext>
            </a:extLst>
          </xdr:cNvPr>
          <xdr:cNvSpPr/>
        </xdr:nvSpPr>
        <xdr:spPr>
          <a:xfrm>
            <a:off x="3162300" y="3660775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  <a:endParaRPr lang="en-KE" sz="3200"/>
          </a:p>
        </xdr:txBody>
      </xdr:sp>
      <xdr:sp macro="[0]!NumberBtn" textlink="">
        <xdr:nvSpPr>
          <xdr:cNvPr id="12" name="BUTN0">
            <a:extLst>
              <a:ext uri="{FF2B5EF4-FFF2-40B4-BE49-F238E27FC236}">
                <a16:creationId xmlns:a16="http://schemas.microsoft.com/office/drawing/2014/main" id="{C5BBCE1E-11A3-4609-9193-DF19E6743C4C}"/>
              </a:ext>
            </a:extLst>
          </xdr:cNvPr>
          <xdr:cNvSpPr/>
        </xdr:nvSpPr>
        <xdr:spPr>
          <a:xfrm>
            <a:off x="1809750" y="4324350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  <a:endParaRPr lang="en-KE" sz="3200"/>
          </a:p>
        </xdr:txBody>
      </xdr:sp>
      <xdr:sp macro="[0]!ClearBtn" textlink="">
        <xdr:nvSpPr>
          <xdr:cNvPr id="13" name="ClearBtn">
            <a:extLst>
              <a:ext uri="{FF2B5EF4-FFF2-40B4-BE49-F238E27FC236}">
                <a16:creationId xmlns:a16="http://schemas.microsoft.com/office/drawing/2014/main" id="{56BABBBD-7C77-4C6F-83CB-FAE421FA4A98}"/>
              </a:ext>
            </a:extLst>
          </xdr:cNvPr>
          <xdr:cNvSpPr/>
        </xdr:nvSpPr>
        <xdr:spPr>
          <a:xfrm>
            <a:off x="2481263" y="4324350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0" u="sng"/>
              <a:t>Clear</a:t>
            </a:r>
            <a:endParaRPr lang="en-KE" sz="1600" b="0" u="sng"/>
          </a:p>
        </xdr:txBody>
      </xdr:sp>
      <xdr:sp macro="[0]!DecimalBtn" textlink="">
        <xdr:nvSpPr>
          <xdr:cNvPr id="14" name="DecimalBtn">
            <a:extLst>
              <a:ext uri="{FF2B5EF4-FFF2-40B4-BE49-F238E27FC236}">
                <a16:creationId xmlns:a16="http://schemas.microsoft.com/office/drawing/2014/main" id="{4F1E136C-980B-4339-9984-01FCFC9D55E9}"/>
              </a:ext>
            </a:extLst>
          </xdr:cNvPr>
          <xdr:cNvSpPr/>
        </xdr:nvSpPr>
        <xdr:spPr>
          <a:xfrm>
            <a:off x="3162300" y="4324350"/>
            <a:ext cx="612000" cy="576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  <a:endParaRPr lang="en-KE" sz="3200"/>
          </a:p>
        </xdr:txBody>
      </xdr:sp>
    </xdr:grpSp>
    <xdr:clientData/>
  </xdr:twoCellAnchor>
  <xdr:twoCellAnchor editAs="oneCell">
    <xdr:from>
      <xdr:col>6</xdr:col>
      <xdr:colOff>361950</xdr:colOff>
      <xdr:row>10</xdr:row>
      <xdr:rowOff>161925</xdr:rowOff>
    </xdr:from>
    <xdr:to>
      <xdr:col>7</xdr:col>
      <xdr:colOff>184350</xdr:colOff>
      <xdr:row>13</xdr:row>
      <xdr:rowOff>166425</xdr:rowOff>
    </xdr:to>
    <xdr:sp macro="[0]!payType" textlink="">
      <xdr:nvSpPr>
        <xdr:cNvPr id="15" name="Cash">
          <a:extLst>
            <a:ext uri="{FF2B5EF4-FFF2-40B4-BE49-F238E27FC236}">
              <a16:creationId xmlns:a16="http://schemas.microsoft.com/office/drawing/2014/main" id="{A9D9C6B6-6702-4D54-89E0-F95F2AD05C6D}"/>
            </a:ext>
          </a:extLst>
        </xdr:cNvPr>
        <xdr:cNvSpPr/>
      </xdr:nvSpPr>
      <xdr:spPr>
        <a:xfrm>
          <a:off x="4219575" y="2333625"/>
          <a:ext cx="432000" cy="5760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cash</a:t>
          </a:r>
          <a:endParaRPr lang="en-KE" sz="1400"/>
        </a:p>
      </xdr:txBody>
    </xdr:sp>
    <xdr:clientData/>
  </xdr:twoCellAnchor>
  <xdr:twoCellAnchor editAs="oneCell">
    <xdr:from>
      <xdr:col>7</xdr:col>
      <xdr:colOff>223837</xdr:colOff>
      <xdr:row>10</xdr:row>
      <xdr:rowOff>161925</xdr:rowOff>
    </xdr:from>
    <xdr:to>
      <xdr:col>8</xdr:col>
      <xdr:colOff>46237</xdr:colOff>
      <xdr:row>13</xdr:row>
      <xdr:rowOff>166425</xdr:rowOff>
    </xdr:to>
    <xdr:sp macro="[0]!payType" textlink="">
      <xdr:nvSpPr>
        <xdr:cNvPr id="16" name="Card">
          <a:extLst>
            <a:ext uri="{FF2B5EF4-FFF2-40B4-BE49-F238E27FC236}">
              <a16:creationId xmlns:a16="http://schemas.microsoft.com/office/drawing/2014/main" id="{F22FC592-7DE1-480D-AE75-E654ED5DE3DB}"/>
            </a:ext>
          </a:extLst>
        </xdr:cNvPr>
        <xdr:cNvSpPr/>
      </xdr:nvSpPr>
      <xdr:spPr>
        <a:xfrm>
          <a:off x="4691062" y="2333625"/>
          <a:ext cx="432000" cy="5760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card</a:t>
          </a:r>
        </a:p>
      </xdr:txBody>
    </xdr:sp>
    <xdr:clientData/>
  </xdr:twoCellAnchor>
  <xdr:twoCellAnchor editAs="oneCell">
    <xdr:from>
      <xdr:col>8</xdr:col>
      <xdr:colOff>85725</xdr:colOff>
      <xdr:row>10</xdr:row>
      <xdr:rowOff>161925</xdr:rowOff>
    </xdr:from>
    <xdr:to>
      <xdr:col>8</xdr:col>
      <xdr:colOff>517725</xdr:colOff>
      <xdr:row>13</xdr:row>
      <xdr:rowOff>166425</xdr:rowOff>
    </xdr:to>
    <xdr:sp macro="[0]!payType" textlink="">
      <xdr:nvSpPr>
        <xdr:cNvPr id="17" name="Cheque">
          <a:extLst>
            <a:ext uri="{FF2B5EF4-FFF2-40B4-BE49-F238E27FC236}">
              <a16:creationId xmlns:a16="http://schemas.microsoft.com/office/drawing/2014/main" id="{DCFE43E7-9EA8-4857-A174-1B16237AF7F5}"/>
            </a:ext>
          </a:extLst>
        </xdr:cNvPr>
        <xdr:cNvSpPr/>
      </xdr:nvSpPr>
      <xdr:spPr>
        <a:xfrm>
          <a:off x="5162550" y="2333625"/>
          <a:ext cx="432000" cy="5760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cheque</a:t>
          </a:r>
          <a:endParaRPr lang="en-KE" sz="1200"/>
        </a:p>
      </xdr:txBody>
    </xdr:sp>
    <xdr:clientData/>
  </xdr:twoCellAnchor>
  <xdr:twoCellAnchor editAs="oneCell">
    <xdr:from>
      <xdr:col>6</xdr:col>
      <xdr:colOff>361950</xdr:colOff>
      <xdr:row>14</xdr:row>
      <xdr:rowOff>63500</xdr:rowOff>
    </xdr:from>
    <xdr:to>
      <xdr:col>8</xdr:col>
      <xdr:colOff>514350</xdr:colOff>
      <xdr:row>17</xdr:row>
      <xdr:rowOff>68000</xdr:rowOff>
    </xdr:to>
    <xdr:sp macro="[0]!Payment" textlink="">
      <xdr:nvSpPr>
        <xdr:cNvPr id="18" name="PaymentBtn">
          <a:extLst>
            <a:ext uri="{FF2B5EF4-FFF2-40B4-BE49-F238E27FC236}">
              <a16:creationId xmlns:a16="http://schemas.microsoft.com/office/drawing/2014/main" id="{81235ABF-2F0C-4114-A4C4-C25D2FD18DD0}"/>
            </a:ext>
          </a:extLst>
        </xdr:cNvPr>
        <xdr:cNvSpPr/>
      </xdr:nvSpPr>
      <xdr:spPr>
        <a:xfrm>
          <a:off x="4219575" y="2997200"/>
          <a:ext cx="1371600" cy="576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PAYMENT</a:t>
          </a:r>
          <a:endParaRPr lang="en-KE" sz="2000"/>
        </a:p>
      </xdr:txBody>
    </xdr:sp>
    <xdr:clientData/>
  </xdr:twoCellAnchor>
  <xdr:twoCellAnchor editAs="oneCell">
    <xdr:from>
      <xdr:col>6</xdr:col>
      <xdr:colOff>361950</xdr:colOff>
      <xdr:row>17</xdr:row>
      <xdr:rowOff>155575</xdr:rowOff>
    </xdr:from>
    <xdr:to>
      <xdr:col>8</xdr:col>
      <xdr:colOff>514350</xdr:colOff>
      <xdr:row>20</xdr:row>
      <xdr:rowOff>160075</xdr:rowOff>
    </xdr:to>
    <xdr:sp macro="[0]!printRcpt" textlink="">
      <xdr:nvSpPr>
        <xdr:cNvPr id="19" name="PrintBtn">
          <a:extLst>
            <a:ext uri="{FF2B5EF4-FFF2-40B4-BE49-F238E27FC236}">
              <a16:creationId xmlns:a16="http://schemas.microsoft.com/office/drawing/2014/main" id="{BF078261-B775-4AF7-9BA7-36CEEDCBD00B}"/>
            </a:ext>
          </a:extLst>
        </xdr:cNvPr>
        <xdr:cNvSpPr/>
      </xdr:nvSpPr>
      <xdr:spPr>
        <a:xfrm>
          <a:off x="4219575" y="3660775"/>
          <a:ext cx="1371600" cy="576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PRINT</a:t>
          </a:r>
          <a:endParaRPr lang="en-KE" sz="3200"/>
        </a:p>
      </xdr:txBody>
    </xdr:sp>
    <xdr:clientData/>
  </xdr:twoCellAnchor>
  <xdr:twoCellAnchor editAs="oneCell">
    <xdr:from>
      <xdr:col>6</xdr:col>
      <xdr:colOff>361950</xdr:colOff>
      <xdr:row>21</xdr:row>
      <xdr:rowOff>57150</xdr:rowOff>
    </xdr:from>
    <xdr:to>
      <xdr:col>8</xdr:col>
      <xdr:colOff>514350</xdr:colOff>
      <xdr:row>24</xdr:row>
      <xdr:rowOff>61650</xdr:rowOff>
    </xdr:to>
    <xdr:sp macro="[0]!SaveAndClear" textlink="">
      <xdr:nvSpPr>
        <xdr:cNvPr id="20" name="NextBtn">
          <a:extLst>
            <a:ext uri="{FF2B5EF4-FFF2-40B4-BE49-F238E27FC236}">
              <a16:creationId xmlns:a16="http://schemas.microsoft.com/office/drawing/2014/main" id="{DBDCD8D7-906B-4C4E-A43A-4137D47C6C30}"/>
            </a:ext>
          </a:extLst>
        </xdr:cNvPr>
        <xdr:cNvSpPr/>
      </xdr:nvSpPr>
      <xdr:spPr>
        <a:xfrm>
          <a:off x="4219575" y="4324350"/>
          <a:ext cx="1371600" cy="576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NEXT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14</xdr:col>
      <xdr:colOff>0</xdr:colOff>
      <xdr:row>24</xdr:row>
      <xdr:rowOff>9525</xdr:rowOff>
    </xdr:to>
    <xdr:grpSp>
      <xdr:nvGrpSpPr>
        <xdr:cNvPr id="25" name="FooterGrp" hidden="1">
          <a:extLst>
            <a:ext uri="{FF2B5EF4-FFF2-40B4-BE49-F238E27FC236}">
              <a16:creationId xmlns:a16="http://schemas.microsoft.com/office/drawing/2014/main" id="{29744392-5224-4020-922C-6C2BB0FF62FF}"/>
            </a:ext>
          </a:extLst>
        </xdr:cNvPr>
        <xdr:cNvGrpSpPr/>
      </xdr:nvGrpSpPr>
      <xdr:grpSpPr>
        <a:xfrm>
          <a:off x="5119688" y="4270375"/>
          <a:ext cx="2579687" cy="581025"/>
          <a:chOff x="6296025" y="4400550"/>
          <a:chExt cx="2438400" cy="581025"/>
        </a:xfrm>
      </xdr:grpSpPr>
      <xdr:sp macro="" textlink="">
        <xdr:nvSpPr>
          <xdr:cNvPr id="22" name="TextBox 21" hidden="1">
            <a:extLst>
              <a:ext uri="{FF2B5EF4-FFF2-40B4-BE49-F238E27FC236}">
                <a16:creationId xmlns:a16="http://schemas.microsoft.com/office/drawing/2014/main" id="{BB874719-F477-40F3-BA6E-ACF20BDDAB94}"/>
              </a:ext>
            </a:extLst>
          </xdr:cNvPr>
          <xdr:cNvSpPr txBox="1"/>
        </xdr:nvSpPr>
        <xdr:spPr>
          <a:xfrm>
            <a:off x="6296025" y="4400550"/>
            <a:ext cx="2438400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200" b="1"/>
              <a:t>Thank you, welcome again!</a:t>
            </a:r>
            <a:endParaRPr lang="en-KE" sz="1200" b="1"/>
          </a:p>
        </xdr:txBody>
      </xdr:sp>
      <xdr:sp macro="" textlink="$M$5">
        <xdr:nvSpPr>
          <xdr:cNvPr id="24" name="TextBox 23" hidden="1">
            <a:extLst>
              <a:ext uri="{FF2B5EF4-FFF2-40B4-BE49-F238E27FC236}">
                <a16:creationId xmlns:a16="http://schemas.microsoft.com/office/drawing/2014/main" id="{30EB90C0-CC6E-4017-BD6B-34B78A75D827}"/>
              </a:ext>
            </a:extLst>
          </xdr:cNvPr>
          <xdr:cNvSpPr txBox="1"/>
        </xdr:nvSpPr>
        <xdr:spPr>
          <a:xfrm>
            <a:off x="6296025" y="4667250"/>
            <a:ext cx="2438400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8F1DE0B-ECC7-4534-B323-18921FA0C40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1008</a:t>
            </a:fld>
            <a:endParaRPr lang="en-KE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\..\..\..\Downloads\Partoh\Nokia\Camera\IMG_20190803_170925.jpg" TargetMode="External"/><Relationship Id="rId3" Type="http://schemas.openxmlformats.org/officeDocument/2006/relationships/hyperlink" Target="..\..\..\..\Downloads\Partoh\Nokia\Camera\IMG_20190117_164940.jpg" TargetMode="External"/><Relationship Id="rId7" Type="http://schemas.openxmlformats.org/officeDocument/2006/relationships/hyperlink" Target="..\..\..\..\Downloads\Partoh\Nokia\Camera\IMG_20190803_170848.jpg" TargetMode="External"/><Relationship Id="rId2" Type="http://schemas.openxmlformats.org/officeDocument/2006/relationships/hyperlink" Target="..\..\..\..\Pictures\splash.png" TargetMode="External"/><Relationship Id="rId1" Type="http://schemas.openxmlformats.org/officeDocument/2006/relationships/hyperlink" Target="..\..\..\..\Pictures\Picture1.png" TargetMode="External"/><Relationship Id="rId6" Type="http://schemas.openxmlformats.org/officeDocument/2006/relationships/hyperlink" Target="..\..\..\..\Downloads\Partoh\Nokia\Camera\IMG_20190803_104325.jpg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..\..\..\..\Downloads\Partoh\Nokia\Camera\IMG_20190803_101520.jpg" TargetMode="External"/><Relationship Id="rId10" Type="http://schemas.openxmlformats.org/officeDocument/2006/relationships/hyperlink" Target="..\..\..\..\Downloads\Partoh\Nokia\Camera\IMG_20190908_153003.jpg" TargetMode="External"/><Relationship Id="rId4" Type="http://schemas.openxmlformats.org/officeDocument/2006/relationships/hyperlink" Target="..\..\..\..\Downloads\Partoh\Nokia\Camera\IMG_20190117_164959.jpg" TargetMode="External"/><Relationship Id="rId9" Type="http://schemas.openxmlformats.org/officeDocument/2006/relationships/hyperlink" Target="..\..\..\..\Downloads\Partoh\Nokia\Camera\IMG_20190908_151235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DB55-E66F-457E-AEDE-4C98F92E2ADE}">
  <sheetPr codeName="Sheet1"/>
  <dimension ref="A1:S51"/>
  <sheetViews>
    <sheetView tabSelected="1" topLeftCell="C1" zoomScale="120" zoomScaleNormal="120" workbookViewId="0">
      <selection activeCell="C1" sqref="C1:J1"/>
    </sheetView>
  </sheetViews>
  <sheetFormatPr defaultRowHeight="15" x14ac:dyDescent="0.25"/>
  <cols>
    <col min="1" max="1" width="11.28515625" hidden="1" customWidth="1"/>
    <col min="2" max="2" width="8.42578125" hidden="1" customWidth="1"/>
    <col min="4" max="4" width="12.140625" customWidth="1"/>
    <col min="6" max="6" width="9.28515625" bestFit="1" customWidth="1"/>
    <col min="9" max="9" width="9.5703125" bestFit="1" customWidth="1"/>
    <col min="11" max="11" width="10.28515625" customWidth="1"/>
    <col min="12" max="13" width="9.28515625" bestFit="1" customWidth="1"/>
    <col min="14" max="14" width="9.85546875" bestFit="1" customWidth="1"/>
    <col min="15" max="15" width="29.7109375" customWidth="1"/>
    <col min="19" max="19" width="9.42578125" bestFit="1" customWidth="1"/>
  </cols>
  <sheetData>
    <row r="1" spans="1:19" ht="36" x14ac:dyDescent="0.55000000000000004">
      <c r="A1" s="4"/>
      <c r="B1" s="4"/>
      <c r="C1" s="34" t="s">
        <v>26</v>
      </c>
      <c r="D1" s="34"/>
      <c r="E1" s="34"/>
      <c r="F1" s="34"/>
      <c r="G1" s="34"/>
      <c r="H1" s="34"/>
      <c r="I1" s="34"/>
      <c r="J1" s="34"/>
      <c r="K1" s="42" t="s">
        <v>38</v>
      </c>
      <c r="L1" s="42"/>
      <c r="M1" s="42"/>
      <c r="N1" s="42"/>
      <c r="O1" s="5"/>
    </row>
    <row r="2" spans="1:19" x14ac:dyDescent="0.25">
      <c r="A2" s="4"/>
      <c r="B2" s="4"/>
      <c r="C2" s="6"/>
      <c r="D2" s="6"/>
      <c r="E2" s="6"/>
      <c r="F2" s="6"/>
      <c r="G2" s="6"/>
      <c r="H2" s="6"/>
      <c r="I2" s="6"/>
      <c r="J2" s="6"/>
      <c r="K2" s="43" t="s">
        <v>39</v>
      </c>
      <c r="L2" s="43"/>
      <c r="M2" s="43"/>
      <c r="N2" s="43"/>
      <c r="O2" s="6"/>
    </row>
    <row r="3" spans="1:19" x14ac:dyDescent="0.25">
      <c r="A3" s="4"/>
      <c r="B3" s="4" t="s">
        <v>13</v>
      </c>
      <c r="C3" s="7"/>
      <c r="D3" s="10" t="s">
        <v>27</v>
      </c>
      <c r="E3" s="35"/>
      <c r="F3" s="36"/>
      <c r="G3" s="7"/>
      <c r="H3" s="9" t="s">
        <v>34</v>
      </c>
      <c r="I3" s="18">
        <f>SUMIFS(N10:N9999,K10:K9999,"&lt;&gt;")</f>
        <v>0</v>
      </c>
      <c r="J3" s="7"/>
      <c r="K3" s="43" t="s">
        <v>40</v>
      </c>
      <c r="L3" s="43"/>
      <c r="M3" s="43"/>
      <c r="N3" s="43"/>
      <c r="O3" s="7"/>
      <c r="R3" s="22" t="s">
        <v>34</v>
      </c>
      <c r="S3" s="1">
        <f>I3</f>
        <v>0</v>
      </c>
    </row>
    <row r="4" spans="1:19" x14ac:dyDescent="0.25">
      <c r="A4" s="16" t="s">
        <v>47</v>
      </c>
      <c r="B4" s="17" t="b">
        <v>0</v>
      </c>
      <c r="C4" s="7"/>
      <c r="D4" s="37" t="str">
        <f ca="1">IFERROR(INDEX(Item_Desc,MATCH(E3,Item_Name,0),1),"")</f>
        <v/>
      </c>
      <c r="E4" s="38"/>
      <c r="F4" s="39"/>
      <c r="G4" s="7"/>
      <c r="H4" s="9" t="s">
        <v>29</v>
      </c>
      <c r="I4" s="18">
        <f>I3*0.16</f>
        <v>0</v>
      </c>
      <c r="J4" s="7"/>
      <c r="K4" s="43">
        <v>706781214</v>
      </c>
      <c r="L4" s="43"/>
      <c r="M4" s="43"/>
      <c r="N4" s="43"/>
      <c r="O4" s="7"/>
      <c r="R4" s="22" t="s">
        <v>29</v>
      </c>
      <c r="S4" s="1">
        <f>I4</f>
        <v>0</v>
      </c>
    </row>
    <row r="5" spans="1:19" x14ac:dyDescent="0.25">
      <c r="A5" s="16" t="s">
        <v>49</v>
      </c>
      <c r="B5" s="17" t="str">
        <f ca="1">IFERROR(MATCH(E10,Item_ID,0)+2,"")</f>
        <v/>
      </c>
      <c r="C5" s="7"/>
      <c r="D5" s="7"/>
      <c r="E5" s="7"/>
      <c r="F5" s="7"/>
      <c r="G5" s="7"/>
      <c r="H5" s="9" t="s">
        <v>30</v>
      </c>
      <c r="I5" s="18">
        <f>SUM(I3:I4)</f>
        <v>0</v>
      </c>
      <c r="J5" s="7"/>
      <c r="K5" s="8"/>
      <c r="L5" s="11" t="s">
        <v>41</v>
      </c>
      <c r="M5" s="33">
        <v>1008</v>
      </c>
      <c r="N5" s="33"/>
      <c r="O5" s="7"/>
      <c r="R5" s="22" t="s">
        <v>30</v>
      </c>
      <c r="S5" s="1">
        <f>I5</f>
        <v>0</v>
      </c>
    </row>
    <row r="6" spans="1:19" x14ac:dyDescent="0.25">
      <c r="A6" s="16" t="s">
        <v>48</v>
      </c>
      <c r="B6" s="17"/>
      <c r="C6" s="7"/>
      <c r="D6" s="7"/>
      <c r="E6" s="9" t="s">
        <v>35</v>
      </c>
      <c r="F6" s="21"/>
      <c r="G6" s="7"/>
      <c r="H6" s="9" t="s">
        <v>31</v>
      </c>
      <c r="I6" s="19" t="s">
        <v>62</v>
      </c>
      <c r="J6" s="7"/>
      <c r="K6" s="8"/>
      <c r="L6" s="11" t="s">
        <v>43</v>
      </c>
      <c r="M6" s="44">
        <f ca="1">NOW()</f>
        <v>44329.74253275463</v>
      </c>
      <c r="N6" s="33"/>
      <c r="O6" s="7"/>
      <c r="R6" s="22" t="s">
        <v>32</v>
      </c>
      <c r="S6" s="1">
        <v>75</v>
      </c>
    </row>
    <row r="7" spans="1:19" x14ac:dyDescent="0.25">
      <c r="A7" s="16" t="s">
        <v>50</v>
      </c>
      <c r="B7" s="17">
        <f ca="1">IFERROR(MAX(Rec_No)+1,1000)</f>
        <v>1008</v>
      </c>
      <c r="C7" s="7"/>
      <c r="D7" s="7"/>
      <c r="E7" s="7"/>
      <c r="F7" s="7"/>
      <c r="G7" s="7"/>
      <c r="H7" s="9" t="s">
        <v>32</v>
      </c>
      <c r="I7" s="19"/>
      <c r="J7" s="7"/>
      <c r="K7" s="8"/>
      <c r="L7" s="11" t="s">
        <v>44</v>
      </c>
      <c r="M7" s="33" t="s">
        <v>63</v>
      </c>
      <c r="N7" s="33"/>
      <c r="O7" s="7"/>
      <c r="R7" s="22" t="s">
        <v>33</v>
      </c>
      <c r="S7" s="1">
        <f>I8</f>
        <v>0</v>
      </c>
    </row>
    <row r="8" spans="1:19" x14ac:dyDescent="0.25">
      <c r="A8" s="4"/>
      <c r="B8" s="4"/>
      <c r="C8" s="7"/>
      <c r="D8" s="7"/>
      <c r="E8" s="9" t="s">
        <v>36</v>
      </c>
      <c r="F8" s="19"/>
      <c r="G8" s="7"/>
      <c r="H8" s="9" t="s">
        <v>33</v>
      </c>
      <c r="I8" s="18">
        <f>I7-I5</f>
        <v>0</v>
      </c>
      <c r="J8" s="7"/>
      <c r="K8" s="8"/>
      <c r="L8" s="8"/>
      <c r="M8" s="8"/>
      <c r="N8" s="8"/>
      <c r="O8" s="7"/>
    </row>
    <row r="9" spans="1:19" x14ac:dyDescent="0.25">
      <c r="A9" s="4"/>
      <c r="B9" s="4"/>
      <c r="C9" s="7"/>
      <c r="D9" s="7"/>
      <c r="E9" s="7"/>
      <c r="F9" s="7"/>
      <c r="G9" s="7"/>
      <c r="H9" s="7"/>
      <c r="I9" s="7"/>
      <c r="J9" s="7"/>
      <c r="K9" s="12" t="s">
        <v>45</v>
      </c>
      <c r="L9" s="12" t="s">
        <v>46</v>
      </c>
      <c r="M9" s="12" t="s">
        <v>2</v>
      </c>
      <c r="N9" s="12" t="s">
        <v>28</v>
      </c>
      <c r="O9" s="7"/>
    </row>
    <row r="10" spans="1:19" x14ac:dyDescent="0.25">
      <c r="A10" s="4"/>
      <c r="B10" s="4"/>
      <c r="C10" s="7"/>
      <c r="D10" s="9" t="s">
        <v>37</v>
      </c>
      <c r="E10" s="40"/>
      <c r="F10" s="41"/>
      <c r="G10" s="7"/>
      <c r="H10" s="7"/>
      <c r="I10" s="7"/>
      <c r="J10" s="7"/>
      <c r="K10" s="8"/>
      <c r="L10" s="13"/>
      <c r="M10" s="14"/>
      <c r="N10" s="14"/>
      <c r="O10" s="7"/>
    </row>
    <row r="11" spans="1:19" x14ac:dyDescent="0.25">
      <c r="A11" s="4"/>
      <c r="B11" s="4"/>
      <c r="C11" s="7"/>
      <c r="D11" s="7"/>
      <c r="E11" s="7"/>
      <c r="F11" s="7"/>
      <c r="G11" s="7"/>
      <c r="H11" s="7"/>
      <c r="I11" s="7"/>
      <c r="J11" s="7"/>
      <c r="K11" s="8"/>
      <c r="L11" s="13"/>
      <c r="M11" s="14"/>
      <c r="N11" s="14"/>
      <c r="O11" s="7"/>
    </row>
    <row r="12" spans="1:19" x14ac:dyDescent="0.25">
      <c r="A12" s="4"/>
      <c r="B12" s="4"/>
      <c r="C12" s="7"/>
      <c r="D12" s="7"/>
      <c r="E12" s="7"/>
      <c r="F12" s="7"/>
      <c r="G12" s="7"/>
      <c r="H12" s="7"/>
      <c r="I12" s="7"/>
      <c r="J12" s="7"/>
      <c r="K12" s="8"/>
      <c r="L12" s="13"/>
      <c r="M12" s="14"/>
      <c r="N12" s="14"/>
      <c r="O12" s="7"/>
    </row>
    <row r="13" spans="1:19" x14ac:dyDescent="0.25">
      <c r="A13" s="4"/>
      <c r="B13" s="4"/>
      <c r="C13" s="7"/>
      <c r="D13" s="7"/>
      <c r="E13" s="7"/>
      <c r="F13" s="7"/>
      <c r="G13" s="7"/>
      <c r="H13" s="7"/>
      <c r="I13" s="7"/>
      <c r="J13" s="7"/>
      <c r="K13" s="8"/>
      <c r="L13" s="13"/>
      <c r="M13" s="14"/>
      <c r="N13" s="14"/>
      <c r="O13" s="7"/>
    </row>
    <row r="14" spans="1:19" x14ac:dyDescent="0.25">
      <c r="A14" s="4"/>
      <c r="B14" s="4"/>
      <c r="C14" s="7"/>
      <c r="D14" s="7"/>
      <c r="E14" s="7"/>
      <c r="F14" s="7"/>
      <c r="G14" s="7"/>
      <c r="H14" s="7"/>
      <c r="I14" s="7"/>
      <c r="J14" s="7"/>
      <c r="K14" s="8"/>
      <c r="L14" s="13"/>
      <c r="M14" s="14"/>
      <c r="N14" s="14"/>
      <c r="O14" s="7"/>
    </row>
    <row r="15" spans="1:19" x14ac:dyDescent="0.25">
      <c r="A15" s="4"/>
      <c r="B15" s="4"/>
      <c r="C15" s="7"/>
      <c r="D15" s="7"/>
      <c r="E15" s="7"/>
      <c r="F15" s="7"/>
      <c r="G15" s="7"/>
      <c r="H15" s="7"/>
      <c r="I15" s="7"/>
      <c r="J15" s="7"/>
      <c r="K15" s="8"/>
      <c r="L15" s="13"/>
      <c r="M15" s="14"/>
      <c r="N15" s="14"/>
      <c r="O15" s="7"/>
    </row>
    <row r="16" spans="1:19" x14ac:dyDescent="0.25">
      <c r="A16" s="4"/>
      <c r="B16" s="4"/>
      <c r="C16" s="7"/>
      <c r="D16" s="7"/>
      <c r="E16" s="7"/>
      <c r="F16" s="7"/>
      <c r="G16" s="7"/>
      <c r="H16" s="7"/>
      <c r="I16" s="7"/>
      <c r="J16" s="7"/>
      <c r="K16" s="8"/>
      <c r="L16" s="13"/>
      <c r="M16" s="14"/>
      <c r="N16" s="14"/>
      <c r="O16" s="7"/>
    </row>
    <row r="17" spans="1:15" x14ac:dyDescent="0.25">
      <c r="A17" s="4"/>
      <c r="B17" s="4"/>
      <c r="C17" s="7"/>
      <c r="D17" s="7"/>
      <c r="E17" s="7"/>
      <c r="F17" s="7"/>
      <c r="G17" s="7"/>
      <c r="H17" s="7"/>
      <c r="I17" s="7"/>
      <c r="J17" s="7"/>
      <c r="K17" s="8"/>
      <c r="L17" s="13"/>
      <c r="M17" s="15"/>
      <c r="N17" s="14"/>
      <c r="O17" s="7"/>
    </row>
    <row r="18" spans="1:15" x14ac:dyDescent="0.25">
      <c r="A18" s="4"/>
      <c r="B18" s="4"/>
      <c r="C18" s="7"/>
      <c r="D18" s="7"/>
      <c r="E18" s="7"/>
      <c r="F18" s="7"/>
      <c r="G18" s="7"/>
      <c r="H18" s="7"/>
      <c r="I18" s="7"/>
      <c r="J18" s="7"/>
      <c r="K18" s="8"/>
      <c r="L18" s="13"/>
      <c r="M18" s="15"/>
      <c r="N18" s="14"/>
      <c r="O18" s="7"/>
    </row>
    <row r="19" spans="1:15" x14ac:dyDescent="0.25">
      <c r="A19" s="4"/>
      <c r="B19" s="4"/>
      <c r="C19" s="7"/>
      <c r="D19" s="7"/>
      <c r="E19" s="7"/>
      <c r="F19" s="7"/>
      <c r="G19" s="7"/>
      <c r="H19" s="7"/>
      <c r="I19" s="7"/>
      <c r="J19" s="7"/>
      <c r="K19" s="8"/>
      <c r="L19" s="13"/>
      <c r="M19" s="15"/>
      <c r="N19" s="14"/>
      <c r="O19" s="7"/>
    </row>
    <row r="20" spans="1:15" x14ac:dyDescent="0.25">
      <c r="A20" s="4"/>
      <c r="B20" s="4"/>
      <c r="C20" s="7"/>
      <c r="D20" s="7"/>
      <c r="E20" s="7"/>
      <c r="F20" s="7"/>
      <c r="G20" s="7"/>
      <c r="H20" s="7"/>
      <c r="I20" s="7"/>
      <c r="J20" s="7"/>
      <c r="K20" s="8"/>
      <c r="L20" s="13"/>
      <c r="M20" s="15"/>
      <c r="N20" s="14"/>
      <c r="O20" s="7"/>
    </row>
    <row r="21" spans="1:15" x14ac:dyDescent="0.25">
      <c r="A21" s="4"/>
      <c r="B21" s="4"/>
      <c r="C21" s="7"/>
      <c r="D21" s="7"/>
      <c r="E21" s="7"/>
      <c r="F21" s="7"/>
      <c r="G21" s="7"/>
      <c r="H21" s="7"/>
      <c r="I21" s="7"/>
      <c r="J21" s="7"/>
      <c r="K21" s="8"/>
      <c r="L21" s="13"/>
      <c r="M21" s="15"/>
      <c r="N21" s="14"/>
      <c r="O21" s="7"/>
    </row>
    <row r="22" spans="1:15" x14ac:dyDescent="0.25">
      <c r="A22" s="4"/>
      <c r="B22" s="4"/>
      <c r="C22" s="7"/>
      <c r="D22" s="7"/>
      <c r="E22" s="7"/>
      <c r="F22" s="7"/>
      <c r="G22" s="7"/>
      <c r="H22" s="7"/>
      <c r="I22" s="7"/>
      <c r="J22" s="7"/>
      <c r="K22" s="8"/>
      <c r="L22" s="13"/>
      <c r="M22" s="15"/>
      <c r="N22" s="14"/>
      <c r="O22" s="7"/>
    </row>
    <row r="23" spans="1:15" x14ac:dyDescent="0.25">
      <c r="A23" s="4"/>
      <c r="B23" s="4"/>
      <c r="C23" s="7"/>
      <c r="D23" s="7"/>
      <c r="E23" s="7"/>
      <c r="F23" s="7"/>
      <c r="G23" s="7"/>
      <c r="H23" s="7"/>
      <c r="I23" s="7"/>
      <c r="J23" s="7"/>
      <c r="K23" s="8"/>
      <c r="L23" s="13"/>
      <c r="M23" s="15"/>
      <c r="N23" s="14"/>
      <c r="O23" s="7"/>
    </row>
    <row r="24" spans="1:15" x14ac:dyDescent="0.25">
      <c r="A24" s="4"/>
      <c r="B24" s="4"/>
      <c r="C24" s="7"/>
      <c r="D24" s="7"/>
      <c r="E24" s="7"/>
      <c r="F24" s="7"/>
      <c r="G24" s="7"/>
      <c r="H24" s="7"/>
      <c r="I24" s="7"/>
      <c r="J24" s="7"/>
      <c r="K24" s="8"/>
      <c r="L24" s="13"/>
      <c r="M24" s="15"/>
      <c r="N24" s="14"/>
      <c r="O24" s="7"/>
    </row>
    <row r="25" spans="1:15" x14ac:dyDescent="0.25">
      <c r="A25" s="4"/>
      <c r="B25" s="4"/>
      <c r="C25" s="7"/>
      <c r="D25" s="7"/>
      <c r="E25" s="7"/>
      <c r="F25" s="7"/>
      <c r="G25" s="7"/>
      <c r="H25" s="7"/>
      <c r="I25" s="7"/>
      <c r="J25" s="7"/>
      <c r="K25" s="8"/>
      <c r="L25" s="13"/>
      <c r="M25" s="14"/>
      <c r="N25" s="14"/>
      <c r="O25" s="7"/>
    </row>
    <row r="26" spans="1:15" x14ac:dyDescent="0.25">
      <c r="A26" s="4"/>
      <c r="B26" s="4"/>
      <c r="C26" s="7"/>
      <c r="D26" s="7"/>
      <c r="E26" s="7"/>
      <c r="F26" s="7"/>
      <c r="G26" s="7"/>
      <c r="H26" s="7"/>
      <c r="I26" s="7"/>
      <c r="J26" s="7"/>
      <c r="K26" s="8"/>
      <c r="L26" s="13"/>
      <c r="M26" s="14"/>
      <c r="N26" s="14"/>
      <c r="O26" s="7"/>
    </row>
    <row r="27" spans="1:15" x14ac:dyDescent="0.25">
      <c r="A27" s="4"/>
      <c r="B27" s="4"/>
      <c r="C27" s="7"/>
      <c r="D27" s="7"/>
      <c r="E27" s="7"/>
      <c r="F27" s="7"/>
      <c r="G27" s="7"/>
      <c r="H27" s="7"/>
      <c r="I27" s="7"/>
      <c r="J27" s="7"/>
      <c r="K27" s="8"/>
      <c r="L27" s="13"/>
      <c r="M27" s="14"/>
      <c r="N27" s="14"/>
      <c r="O27" s="7"/>
    </row>
    <row r="28" spans="1:15" x14ac:dyDescent="0.25">
      <c r="A28" s="4"/>
      <c r="B28" s="4"/>
      <c r="C28" s="7"/>
      <c r="D28" s="7"/>
      <c r="E28" s="7"/>
      <c r="F28" s="7"/>
      <c r="G28" s="7"/>
      <c r="H28" s="7"/>
      <c r="I28" s="7"/>
      <c r="J28" s="7"/>
      <c r="K28" s="8"/>
      <c r="L28" s="13"/>
      <c r="M28" s="14"/>
      <c r="N28" s="14"/>
      <c r="O28" s="7"/>
    </row>
    <row r="29" spans="1:15" x14ac:dyDescent="0.25">
      <c r="A29" s="4"/>
      <c r="B29" s="4"/>
      <c r="C29" s="7"/>
      <c r="D29" s="7"/>
      <c r="E29" s="7"/>
      <c r="F29" s="7"/>
      <c r="G29" s="7"/>
      <c r="H29" s="7"/>
      <c r="I29" s="7"/>
      <c r="J29" s="7"/>
      <c r="K29" s="8"/>
      <c r="L29" s="13"/>
      <c r="M29" s="14"/>
      <c r="N29" s="14"/>
      <c r="O29" s="7"/>
    </row>
    <row r="30" spans="1:15" x14ac:dyDescent="0.25">
      <c r="A30" s="4"/>
      <c r="B30" s="4"/>
      <c r="C30" s="7"/>
      <c r="D30" s="7"/>
      <c r="E30" s="7"/>
      <c r="F30" s="7"/>
      <c r="G30" s="7"/>
      <c r="H30" s="7"/>
      <c r="I30" s="7"/>
      <c r="J30" s="7"/>
      <c r="K30" s="8"/>
      <c r="L30" s="13"/>
      <c r="M30" s="14"/>
      <c r="N30" s="14"/>
      <c r="O30" s="7"/>
    </row>
    <row r="31" spans="1:15" x14ac:dyDescent="0.25">
      <c r="A31" s="4"/>
      <c r="B31" s="4"/>
      <c r="C31" s="7"/>
      <c r="D31" s="7"/>
      <c r="E31" s="7"/>
      <c r="F31" s="7"/>
      <c r="G31" s="7"/>
      <c r="H31" s="7"/>
      <c r="I31" s="7"/>
      <c r="J31" s="7"/>
      <c r="K31" s="8"/>
      <c r="L31" s="13"/>
      <c r="M31" s="14"/>
      <c r="N31" s="14"/>
      <c r="O31" s="7"/>
    </row>
    <row r="32" spans="1:15" x14ac:dyDescent="0.25">
      <c r="A32" s="4"/>
      <c r="B32" s="4"/>
      <c r="C32" s="7"/>
      <c r="D32" s="7"/>
      <c r="E32" s="7"/>
      <c r="F32" s="7"/>
      <c r="G32" s="7"/>
      <c r="H32" s="7"/>
      <c r="I32" s="7"/>
      <c r="J32" s="7"/>
      <c r="K32" s="8"/>
      <c r="L32" s="13"/>
      <c r="M32" s="14"/>
      <c r="N32" s="14"/>
      <c r="O32" s="7"/>
    </row>
    <row r="33" spans="1:15" x14ac:dyDescent="0.25">
      <c r="A33" s="4"/>
      <c r="B33" s="4"/>
      <c r="C33" s="7"/>
      <c r="D33" s="7"/>
      <c r="E33" s="7"/>
      <c r="F33" s="7"/>
      <c r="G33" s="7"/>
      <c r="H33" s="7"/>
      <c r="I33" s="7"/>
      <c r="J33" s="7"/>
      <c r="K33" s="8"/>
      <c r="L33" s="13"/>
      <c r="M33" s="14"/>
      <c r="N33" s="14"/>
      <c r="O33" s="7"/>
    </row>
    <row r="34" spans="1:15" x14ac:dyDescent="0.25">
      <c r="A34" s="4"/>
      <c r="B34" s="4"/>
      <c r="C34" s="7"/>
      <c r="D34" s="7"/>
      <c r="E34" s="7"/>
      <c r="F34" s="7"/>
      <c r="G34" s="7"/>
      <c r="H34" s="7"/>
      <c r="I34" s="7"/>
      <c r="J34" s="7"/>
      <c r="K34" s="8"/>
      <c r="L34" s="13"/>
      <c r="M34" s="14"/>
      <c r="N34" s="14"/>
      <c r="O34" s="7"/>
    </row>
    <row r="35" spans="1:15" x14ac:dyDescent="0.25">
      <c r="A35" s="4"/>
      <c r="B35" s="4"/>
      <c r="C35" s="7"/>
      <c r="D35" s="7"/>
      <c r="E35" s="7"/>
      <c r="F35" s="7"/>
      <c r="G35" s="7"/>
      <c r="H35" s="7"/>
      <c r="I35" s="7"/>
      <c r="J35" s="7"/>
      <c r="K35" s="8"/>
      <c r="L35" s="13"/>
      <c r="M35" s="14"/>
      <c r="N35" s="14"/>
      <c r="O35" s="7"/>
    </row>
    <row r="36" spans="1:15" x14ac:dyDescent="0.25">
      <c r="A36" s="4"/>
      <c r="B36" s="4"/>
      <c r="C36" s="7"/>
      <c r="D36" s="7"/>
      <c r="E36" s="7"/>
      <c r="F36" s="7"/>
      <c r="G36" s="7"/>
      <c r="H36" s="7"/>
      <c r="I36" s="7"/>
      <c r="J36" s="7"/>
      <c r="K36" s="8"/>
      <c r="L36" s="13"/>
      <c r="M36" s="14"/>
      <c r="N36" s="14"/>
      <c r="O36" s="7"/>
    </row>
    <row r="37" spans="1:15" x14ac:dyDescent="0.25">
      <c r="A37" s="4"/>
      <c r="B37" s="4"/>
      <c r="C37" s="7"/>
      <c r="D37" s="7"/>
      <c r="E37" s="7"/>
      <c r="F37" s="7"/>
      <c r="G37" s="7"/>
      <c r="H37" s="7"/>
      <c r="I37" s="7"/>
      <c r="J37" s="7"/>
      <c r="K37" s="8"/>
      <c r="L37" s="13"/>
      <c r="M37" s="14"/>
      <c r="N37" s="14"/>
      <c r="O37" s="7"/>
    </row>
    <row r="38" spans="1:15" x14ac:dyDescent="0.25">
      <c r="A38" s="4"/>
      <c r="B38" s="4"/>
      <c r="C38" s="7"/>
      <c r="D38" s="7"/>
      <c r="E38" s="7"/>
      <c r="F38" s="7"/>
      <c r="G38" s="7"/>
      <c r="H38" s="7"/>
      <c r="I38" s="7"/>
      <c r="J38" s="7"/>
      <c r="K38" s="8"/>
      <c r="L38" s="13"/>
      <c r="M38" s="14"/>
      <c r="N38" s="14"/>
      <c r="O38" s="7"/>
    </row>
    <row r="39" spans="1:15" x14ac:dyDescent="0.25">
      <c r="A39" s="4"/>
      <c r="B39" s="4"/>
      <c r="C39" s="7"/>
      <c r="D39" s="7"/>
      <c r="E39" s="7"/>
      <c r="F39" s="7"/>
      <c r="G39" s="7"/>
      <c r="H39" s="7"/>
      <c r="I39" s="7"/>
      <c r="J39" s="7"/>
      <c r="K39" s="8"/>
      <c r="L39" s="13"/>
      <c r="M39" s="14"/>
      <c r="N39" s="14"/>
      <c r="O39" s="7"/>
    </row>
    <row r="40" spans="1:15" x14ac:dyDescent="0.25">
      <c r="A40" s="4"/>
      <c r="B40" s="4"/>
      <c r="C40" s="7"/>
      <c r="D40" s="7"/>
      <c r="E40" s="7"/>
      <c r="F40" s="7"/>
      <c r="G40" s="7"/>
      <c r="H40" s="7"/>
      <c r="I40" s="7"/>
      <c r="J40" s="7"/>
      <c r="K40" s="8"/>
      <c r="L40" s="13"/>
      <c r="M40" s="14"/>
      <c r="N40" s="14"/>
      <c r="O40" s="7"/>
    </row>
    <row r="41" spans="1:15" x14ac:dyDescent="0.25">
      <c r="A41" s="4"/>
      <c r="B41" s="4"/>
      <c r="C41" s="7"/>
      <c r="D41" s="7"/>
      <c r="E41" s="7"/>
      <c r="F41" s="7"/>
      <c r="G41" s="7"/>
      <c r="H41" s="7"/>
      <c r="I41" s="7"/>
      <c r="J41" s="7"/>
      <c r="K41" s="8"/>
      <c r="L41" s="13"/>
      <c r="M41" s="14"/>
      <c r="N41" s="14"/>
      <c r="O41" s="7"/>
    </row>
    <row r="42" spans="1:15" x14ac:dyDescent="0.25">
      <c r="A42" s="4"/>
      <c r="B42" s="4"/>
      <c r="C42" s="7"/>
      <c r="D42" s="7"/>
      <c r="E42" s="7"/>
      <c r="F42" s="7"/>
      <c r="G42" s="7"/>
      <c r="H42" s="7"/>
      <c r="I42" s="7"/>
      <c r="J42" s="7"/>
      <c r="K42" s="8"/>
      <c r="L42" s="13"/>
      <c r="M42" s="14"/>
      <c r="N42" s="14"/>
      <c r="O42" s="7"/>
    </row>
    <row r="43" spans="1:15" x14ac:dyDescent="0.25">
      <c r="A43" s="4"/>
      <c r="B43" s="4"/>
      <c r="C43" s="7"/>
      <c r="D43" s="7"/>
      <c r="E43" s="7"/>
      <c r="F43" s="7"/>
      <c r="G43" s="7"/>
      <c r="H43" s="7"/>
      <c r="I43" s="7"/>
      <c r="J43" s="7"/>
      <c r="K43" s="8"/>
      <c r="L43" s="13"/>
      <c r="M43" s="14"/>
      <c r="N43" s="14"/>
      <c r="O43" s="7"/>
    </row>
    <row r="44" spans="1:15" x14ac:dyDescent="0.25">
      <c r="A44" s="4"/>
      <c r="B44" s="4"/>
      <c r="C44" s="7"/>
      <c r="D44" s="7"/>
      <c r="E44" s="7"/>
      <c r="F44" s="7"/>
      <c r="G44" s="7"/>
      <c r="H44" s="7"/>
      <c r="I44" s="7"/>
      <c r="J44" s="7"/>
      <c r="K44" s="8"/>
      <c r="L44" s="13"/>
      <c r="M44" s="14"/>
      <c r="N44" s="14"/>
      <c r="O44" s="7"/>
    </row>
    <row r="45" spans="1:15" x14ac:dyDescent="0.25">
      <c r="A45" s="4"/>
      <c r="B45" s="4"/>
      <c r="C45" s="7"/>
      <c r="D45" s="7"/>
      <c r="E45" s="7"/>
      <c r="F45" s="7"/>
      <c r="G45" s="7"/>
      <c r="H45" s="7"/>
      <c r="I45" s="7"/>
      <c r="J45" s="7"/>
      <c r="K45" s="8"/>
      <c r="L45" s="13"/>
      <c r="M45" s="14"/>
      <c r="N45" s="14"/>
      <c r="O45" s="7"/>
    </row>
    <row r="46" spans="1:15" x14ac:dyDescent="0.25">
      <c r="A46" s="4"/>
      <c r="B46" s="4"/>
      <c r="C46" s="7"/>
      <c r="D46" s="7"/>
      <c r="E46" s="7"/>
      <c r="F46" s="7"/>
      <c r="G46" s="7"/>
      <c r="H46" s="7"/>
      <c r="I46" s="7"/>
      <c r="J46" s="7"/>
      <c r="K46" s="8"/>
      <c r="L46" s="13"/>
      <c r="M46" s="14"/>
      <c r="N46" s="14"/>
      <c r="O46" s="7"/>
    </row>
    <row r="47" spans="1:15" x14ac:dyDescent="0.25">
      <c r="A47" s="4"/>
      <c r="B47" s="4"/>
      <c r="C47" s="7"/>
      <c r="D47" s="7"/>
      <c r="E47" s="7"/>
      <c r="F47" s="7"/>
      <c r="G47" s="7"/>
      <c r="H47" s="7"/>
      <c r="I47" s="7"/>
      <c r="J47" s="7"/>
      <c r="K47" s="8"/>
      <c r="L47" s="13"/>
      <c r="M47" s="14"/>
      <c r="N47" s="14"/>
      <c r="O47" s="7"/>
    </row>
    <row r="48" spans="1:15" x14ac:dyDescent="0.25">
      <c r="A48" s="4"/>
      <c r="B48" s="4"/>
      <c r="C48" s="7"/>
      <c r="D48" s="7"/>
      <c r="E48" s="7"/>
      <c r="F48" s="7"/>
      <c r="G48" s="7"/>
      <c r="H48" s="7"/>
      <c r="I48" s="7"/>
      <c r="J48" s="7"/>
      <c r="K48" s="8"/>
      <c r="L48" s="13"/>
      <c r="M48" s="14"/>
      <c r="N48" s="14"/>
      <c r="O48" s="7"/>
    </row>
    <row r="49" spans="1:15" x14ac:dyDescent="0.25">
      <c r="A49" s="4"/>
      <c r="B49" s="4"/>
      <c r="C49" s="7"/>
      <c r="D49" s="7"/>
      <c r="E49" s="7"/>
      <c r="F49" s="7"/>
      <c r="G49" s="7"/>
      <c r="H49" s="7"/>
      <c r="I49" s="7"/>
      <c r="J49" s="7"/>
      <c r="K49" s="8"/>
      <c r="L49" s="13"/>
      <c r="M49" s="14"/>
      <c r="N49" s="14"/>
      <c r="O49" s="7"/>
    </row>
    <row r="50" spans="1:15" x14ac:dyDescent="0.25">
      <c r="A50" s="4"/>
      <c r="B50" s="4"/>
      <c r="C50" s="7"/>
      <c r="D50" s="7"/>
      <c r="E50" s="7"/>
      <c r="F50" s="7"/>
      <c r="G50" s="7"/>
      <c r="H50" s="7"/>
      <c r="I50" s="7"/>
      <c r="J50" s="7"/>
      <c r="K50" s="8"/>
      <c r="L50" s="13"/>
      <c r="M50" s="14"/>
      <c r="N50" s="14"/>
      <c r="O50" s="7"/>
    </row>
    <row r="51" spans="1:15" x14ac:dyDescent="0.25"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50">
    <cfRule type="expression" dxfId="2" priority="1">
      <formula>$M10="Subtotal:"</formula>
    </cfRule>
    <cfRule type="expression" dxfId="1" priority="3">
      <formula>$M10="Total:"</formula>
    </cfRule>
    <cfRule type="expression" dxfId="0" priority="5">
      <formula>$B$6=ROW()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2A81-B161-4DB1-A926-940014863129}">
  <sheetPr codeName="Sheet2"/>
  <dimension ref="A1:E12"/>
  <sheetViews>
    <sheetView workbookViewId="0">
      <selection activeCell="B3" sqref="B3"/>
    </sheetView>
  </sheetViews>
  <sheetFormatPr defaultRowHeight="15" x14ac:dyDescent="0.25"/>
  <cols>
    <col min="1" max="1" width="9.85546875" customWidth="1"/>
    <col min="2" max="2" width="18.28515625" customWidth="1"/>
    <col min="3" max="3" width="45" customWidth="1"/>
    <col min="4" max="4" width="13" style="1" customWidth="1"/>
    <col min="5" max="5" width="36.7109375" customWidth="1"/>
  </cols>
  <sheetData>
    <row r="1" spans="1:5" x14ac:dyDescent="0.25">
      <c r="A1" s="45" t="s">
        <v>25</v>
      </c>
      <c r="B1" s="45"/>
      <c r="C1" s="45"/>
      <c r="D1" s="45"/>
      <c r="E1" s="45"/>
    </row>
    <row r="2" spans="1:5" x14ac:dyDescent="0.25">
      <c r="A2" s="2" t="s">
        <v>0</v>
      </c>
      <c r="B2" s="2" t="s">
        <v>1</v>
      </c>
      <c r="C2" s="2" t="s">
        <v>14</v>
      </c>
      <c r="D2" s="3" t="s">
        <v>2</v>
      </c>
      <c r="E2" s="2" t="s">
        <v>3</v>
      </c>
    </row>
    <row r="3" spans="1:5" x14ac:dyDescent="0.25">
      <c r="A3">
        <v>1001</v>
      </c>
      <c r="B3" t="s">
        <v>4</v>
      </c>
      <c r="C3" t="s">
        <v>15</v>
      </c>
      <c r="D3" s="1">
        <v>2.99</v>
      </c>
      <c r="E3" s="20" t="s">
        <v>52</v>
      </c>
    </row>
    <row r="4" spans="1:5" x14ac:dyDescent="0.25">
      <c r="A4">
        <v>1002</v>
      </c>
      <c r="B4" t="s">
        <v>5</v>
      </c>
      <c r="C4" t="s">
        <v>16</v>
      </c>
      <c r="D4" s="1">
        <v>0.99</v>
      </c>
      <c r="E4" s="20" t="s">
        <v>53</v>
      </c>
    </row>
    <row r="5" spans="1:5" x14ac:dyDescent="0.25">
      <c r="A5">
        <v>1003</v>
      </c>
      <c r="B5" t="s">
        <v>6</v>
      </c>
      <c r="C5" t="s">
        <v>17</v>
      </c>
      <c r="D5" s="1">
        <v>5.99</v>
      </c>
      <c r="E5" s="20" t="s">
        <v>54</v>
      </c>
    </row>
    <row r="6" spans="1:5" x14ac:dyDescent="0.25">
      <c r="A6">
        <v>1004</v>
      </c>
      <c r="B6" t="s">
        <v>7</v>
      </c>
      <c r="C6" t="s">
        <v>18</v>
      </c>
      <c r="D6" s="1">
        <v>6.3233333333333297</v>
      </c>
      <c r="E6" s="20" t="s">
        <v>55</v>
      </c>
    </row>
    <row r="7" spans="1:5" x14ac:dyDescent="0.25">
      <c r="A7">
        <v>1005</v>
      </c>
      <c r="B7" t="s">
        <v>8</v>
      </c>
      <c r="C7" t="s">
        <v>19</v>
      </c>
      <c r="D7" s="1">
        <v>7.8233333333333297</v>
      </c>
      <c r="E7" s="20" t="s">
        <v>56</v>
      </c>
    </row>
    <row r="8" spans="1:5" x14ac:dyDescent="0.25">
      <c r="A8">
        <v>1006</v>
      </c>
      <c r="B8" t="s">
        <v>9</v>
      </c>
      <c r="C8" t="s">
        <v>20</v>
      </c>
      <c r="D8" s="1">
        <v>9.3233333333333306</v>
      </c>
      <c r="E8" s="20" t="s">
        <v>57</v>
      </c>
    </row>
    <row r="9" spans="1:5" x14ac:dyDescent="0.25">
      <c r="A9">
        <v>1007</v>
      </c>
      <c r="B9" t="s">
        <v>10</v>
      </c>
      <c r="C9" t="s">
        <v>21</v>
      </c>
      <c r="D9" s="1">
        <v>10.8233333333333</v>
      </c>
      <c r="E9" s="20" t="s">
        <v>58</v>
      </c>
    </row>
    <row r="10" spans="1:5" x14ac:dyDescent="0.25">
      <c r="A10">
        <v>1008</v>
      </c>
      <c r="B10" t="s">
        <v>11</v>
      </c>
      <c r="C10" t="s">
        <v>22</v>
      </c>
      <c r="D10" s="1">
        <v>12.3233333333333</v>
      </c>
      <c r="E10" s="20" t="s">
        <v>59</v>
      </c>
    </row>
    <row r="11" spans="1:5" x14ac:dyDescent="0.25">
      <c r="A11">
        <v>1009</v>
      </c>
      <c r="B11" t="s">
        <v>12</v>
      </c>
      <c r="C11" t="s">
        <v>23</v>
      </c>
      <c r="D11" s="1">
        <v>13.8233333333333</v>
      </c>
      <c r="E11" s="20" t="s">
        <v>60</v>
      </c>
    </row>
    <row r="12" spans="1:5" x14ac:dyDescent="0.25">
      <c r="A12">
        <v>1010</v>
      </c>
      <c r="B12" t="s">
        <v>13</v>
      </c>
      <c r="C12" t="s">
        <v>24</v>
      </c>
      <c r="D12" s="1">
        <v>15.3233333333333</v>
      </c>
      <c r="E12" s="20" t="s">
        <v>61</v>
      </c>
    </row>
  </sheetData>
  <mergeCells count="1">
    <mergeCell ref="A1:E1"/>
  </mergeCells>
  <hyperlinks>
    <hyperlink ref="E3" r:id="rId1" xr:uid="{B52E90B9-F32A-4483-9D5E-2F760F4A6974}"/>
    <hyperlink ref="E4" r:id="rId2" xr:uid="{227EA656-78BC-4C26-B26F-7E52C11EB57E}"/>
    <hyperlink ref="E5" r:id="rId3" xr:uid="{3D581624-F08D-43DF-8FC9-C8C0EE388BAF}"/>
    <hyperlink ref="E6" r:id="rId4" xr:uid="{876B34F9-9311-45E3-9330-415FB74CFA0C}"/>
    <hyperlink ref="E7" r:id="rId5" xr:uid="{FBAD34D6-6CC7-47EA-9A3E-96BBDFA68D10}"/>
    <hyperlink ref="E8" r:id="rId6" xr:uid="{E6E044B5-3D06-417A-AEA4-E2E31EE155BA}"/>
    <hyperlink ref="E9" r:id="rId7" xr:uid="{B800834F-179E-42F8-945C-2A8BC79B626A}"/>
    <hyperlink ref="E10" r:id="rId8" xr:uid="{F4324E20-F767-4D45-9E3C-BEC26250133A}"/>
    <hyperlink ref="E11" r:id="rId9" xr:uid="{DFF19912-BA44-4737-92EF-FBD6372D2579}"/>
    <hyperlink ref="E12" r:id="rId10" xr:uid="{E50B7F21-1F4B-4E87-A2D0-F0FB597D7B91}"/>
  </hyperlinks>
  <pageMargins left="0.7" right="0.7" top="0.75" bottom="0.75" header="0.3" footer="0.3"/>
  <pageSetup orientation="portrait"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852CE-084D-417E-BD86-DA55C7F95839}">
  <sheetPr codeName="Sheet3"/>
  <dimension ref="A1:H41"/>
  <sheetViews>
    <sheetView workbookViewId="0">
      <selection activeCell="C8" sqref="C8"/>
    </sheetView>
  </sheetViews>
  <sheetFormatPr defaultRowHeight="15" x14ac:dyDescent="0.25"/>
  <cols>
    <col min="2" max="2" width="21.140625" customWidth="1"/>
    <col min="3" max="3" width="15.42578125" customWidth="1"/>
  </cols>
  <sheetData>
    <row r="1" spans="1:8" ht="17.25" thickTop="1" thickBot="1" x14ac:dyDescent="0.3">
      <c r="A1" s="46" t="s">
        <v>51</v>
      </c>
      <c r="B1" s="47"/>
      <c r="C1" s="47"/>
      <c r="D1" s="47"/>
      <c r="E1" s="47"/>
      <c r="F1" s="47"/>
      <c r="G1" s="48"/>
      <c r="H1" s="32"/>
    </row>
    <row r="2" spans="1:8" ht="16.5" thickTop="1" thickBot="1" x14ac:dyDescent="0.3">
      <c r="A2" s="29" t="s">
        <v>0</v>
      </c>
      <c r="B2" s="27" t="s">
        <v>42</v>
      </c>
      <c r="C2" s="28" t="s">
        <v>64</v>
      </c>
      <c r="D2" s="28" t="s">
        <v>45</v>
      </c>
      <c r="E2" s="29" t="s">
        <v>46</v>
      </c>
      <c r="F2" s="31" t="s">
        <v>2</v>
      </c>
      <c r="G2" s="31" t="s">
        <v>28</v>
      </c>
      <c r="H2" s="32"/>
    </row>
    <row r="3" spans="1:8" ht="15.75" thickTop="1" x14ac:dyDescent="0.25">
      <c r="A3" s="25">
        <v>1007</v>
      </c>
      <c r="B3" s="26">
        <v>44329.737685185188</v>
      </c>
      <c r="C3" s="25" t="s">
        <v>63</v>
      </c>
      <c r="D3" s="25" t="s">
        <v>12</v>
      </c>
      <c r="E3" s="25">
        <v>1</v>
      </c>
      <c r="F3" s="30">
        <v>13.82</v>
      </c>
      <c r="G3" s="30">
        <v>13.82</v>
      </c>
    </row>
    <row r="4" spans="1:8" x14ac:dyDescent="0.25">
      <c r="A4">
        <v>1007</v>
      </c>
      <c r="B4" s="23">
        <v>44329.737685185188</v>
      </c>
      <c r="C4" t="s">
        <v>63</v>
      </c>
      <c r="D4" t="s">
        <v>6</v>
      </c>
      <c r="E4">
        <v>1</v>
      </c>
      <c r="F4" s="24">
        <v>5.99</v>
      </c>
      <c r="G4" s="24">
        <v>5.99</v>
      </c>
    </row>
    <row r="5" spans="1:8" x14ac:dyDescent="0.25">
      <c r="A5">
        <v>1007</v>
      </c>
      <c r="B5" s="23">
        <v>44329.737685185188</v>
      </c>
      <c r="C5" t="s">
        <v>63</v>
      </c>
      <c r="D5" t="s">
        <v>4</v>
      </c>
      <c r="E5">
        <v>1</v>
      </c>
      <c r="F5" s="24">
        <v>2.99</v>
      </c>
      <c r="G5" s="24">
        <v>2.99</v>
      </c>
    </row>
    <row r="6" spans="1:8" x14ac:dyDescent="0.25">
      <c r="B6" s="23"/>
      <c r="F6" s="24"/>
      <c r="G6" s="24"/>
    </row>
    <row r="7" spans="1:8" x14ac:dyDescent="0.25">
      <c r="B7" s="23"/>
      <c r="F7" s="24"/>
      <c r="G7" s="24"/>
    </row>
    <row r="8" spans="1:8" x14ac:dyDescent="0.25">
      <c r="B8" s="23"/>
      <c r="F8" s="24"/>
      <c r="G8" s="24"/>
    </row>
    <row r="9" spans="1:8" x14ac:dyDescent="0.25">
      <c r="B9" s="23"/>
      <c r="F9" s="24"/>
      <c r="G9" s="24"/>
    </row>
    <row r="10" spans="1:8" x14ac:dyDescent="0.25">
      <c r="B10" s="23"/>
      <c r="F10" s="24"/>
      <c r="G10" s="24"/>
    </row>
    <row r="11" spans="1:8" x14ac:dyDescent="0.25">
      <c r="B11" s="23"/>
      <c r="F11" s="24"/>
      <c r="G11" s="24"/>
    </row>
    <row r="12" spans="1:8" x14ac:dyDescent="0.25">
      <c r="B12" s="23"/>
      <c r="F12" s="24"/>
      <c r="G12" s="24"/>
    </row>
    <row r="13" spans="1:8" x14ac:dyDescent="0.25">
      <c r="B13" s="23"/>
      <c r="F13" s="24"/>
      <c r="G13" s="24"/>
    </row>
    <row r="14" spans="1:8" x14ac:dyDescent="0.25">
      <c r="B14" s="23"/>
      <c r="F14" s="24"/>
      <c r="G14" s="24"/>
    </row>
    <row r="15" spans="1:8" x14ac:dyDescent="0.25">
      <c r="B15" s="23"/>
      <c r="F15" s="24"/>
      <c r="G15" s="24"/>
    </row>
    <row r="16" spans="1:8" x14ac:dyDescent="0.25">
      <c r="B16" s="23"/>
      <c r="F16" s="24"/>
      <c r="G16" s="24"/>
    </row>
    <row r="17" spans="2:7" x14ac:dyDescent="0.25">
      <c r="B17" s="23"/>
      <c r="F17" s="24"/>
      <c r="G17" s="24"/>
    </row>
    <row r="18" spans="2:7" x14ac:dyDescent="0.25">
      <c r="B18" s="23"/>
      <c r="F18" s="24"/>
      <c r="G18" s="24"/>
    </row>
    <row r="19" spans="2:7" x14ac:dyDescent="0.25">
      <c r="B19" s="23"/>
      <c r="F19" s="24"/>
      <c r="G19" s="24"/>
    </row>
    <row r="20" spans="2:7" x14ac:dyDescent="0.25">
      <c r="B20" s="23"/>
      <c r="F20" s="24"/>
      <c r="G20" s="24"/>
    </row>
    <row r="21" spans="2:7" x14ac:dyDescent="0.25">
      <c r="B21" s="23"/>
      <c r="F21" s="24"/>
      <c r="G21" s="24"/>
    </row>
    <row r="22" spans="2:7" x14ac:dyDescent="0.25">
      <c r="B22" s="23"/>
      <c r="F22" s="24"/>
      <c r="G22" s="24"/>
    </row>
    <row r="23" spans="2:7" x14ac:dyDescent="0.25">
      <c r="B23" s="23"/>
      <c r="F23" s="24"/>
      <c r="G23" s="24"/>
    </row>
    <row r="24" spans="2:7" x14ac:dyDescent="0.25">
      <c r="B24" s="23"/>
      <c r="F24" s="24"/>
      <c r="G24" s="24"/>
    </row>
    <row r="25" spans="2:7" x14ac:dyDescent="0.25">
      <c r="B25" s="23"/>
      <c r="F25" s="24"/>
      <c r="G25" s="24"/>
    </row>
    <row r="26" spans="2:7" x14ac:dyDescent="0.25">
      <c r="B26" s="23"/>
      <c r="F26" s="24"/>
      <c r="G26" s="24"/>
    </row>
    <row r="27" spans="2:7" x14ac:dyDescent="0.25">
      <c r="B27" s="23"/>
      <c r="F27" s="24"/>
      <c r="G27" s="24"/>
    </row>
    <row r="28" spans="2:7" x14ac:dyDescent="0.25">
      <c r="B28" s="23"/>
      <c r="F28" s="24"/>
      <c r="G28" s="24"/>
    </row>
    <row r="29" spans="2:7" x14ac:dyDescent="0.25">
      <c r="B29" s="23"/>
      <c r="F29" s="24"/>
      <c r="G29" s="24"/>
    </row>
    <row r="30" spans="2:7" x14ac:dyDescent="0.25">
      <c r="B30" s="23"/>
    </row>
    <row r="31" spans="2:7" x14ac:dyDescent="0.25">
      <c r="B31" s="23"/>
      <c r="F31" s="24"/>
      <c r="G31" s="24"/>
    </row>
    <row r="32" spans="2:7" x14ac:dyDescent="0.25">
      <c r="B32" s="23"/>
      <c r="F32" s="24"/>
      <c r="G32" s="24"/>
    </row>
    <row r="33" spans="2:7" x14ac:dyDescent="0.25">
      <c r="B33" s="23"/>
      <c r="F33" s="24"/>
      <c r="G33" s="24"/>
    </row>
    <row r="34" spans="2:7" x14ac:dyDescent="0.25">
      <c r="B34" s="23"/>
      <c r="F34" s="24"/>
      <c r="G34" s="24"/>
    </row>
    <row r="35" spans="2:7" x14ac:dyDescent="0.25">
      <c r="B35" s="23"/>
      <c r="F35" s="24"/>
      <c r="G35" s="24"/>
    </row>
    <row r="36" spans="2:7" x14ac:dyDescent="0.25">
      <c r="B36" s="23"/>
    </row>
    <row r="37" spans="2:7" x14ac:dyDescent="0.25">
      <c r="B37" s="23"/>
      <c r="F37" s="24"/>
      <c r="G37" s="24"/>
    </row>
    <row r="38" spans="2:7" x14ac:dyDescent="0.25">
      <c r="B38" s="23"/>
      <c r="F38" s="24"/>
      <c r="G38" s="24"/>
    </row>
    <row r="39" spans="2:7" x14ac:dyDescent="0.25">
      <c r="B39" s="23"/>
      <c r="F39" s="24"/>
      <c r="G39" s="24"/>
    </row>
    <row r="40" spans="2:7" x14ac:dyDescent="0.25">
      <c r="B40" s="23"/>
      <c r="F40" s="24"/>
      <c r="G40" s="24"/>
    </row>
    <row r="41" spans="2:7" x14ac:dyDescent="0.25">
      <c r="B41" s="23"/>
      <c r="F41" s="24"/>
      <c r="G41" s="24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CompBwoY</dc:creator>
  <cp:lastModifiedBy>CompBwoY</cp:lastModifiedBy>
  <cp:lastPrinted>2021-05-06T02:48:00Z</cp:lastPrinted>
  <dcterms:created xsi:type="dcterms:W3CDTF">2021-05-05T18:41:36Z</dcterms:created>
  <dcterms:modified xsi:type="dcterms:W3CDTF">2021-05-13T14:54:40Z</dcterms:modified>
</cp:coreProperties>
</file>